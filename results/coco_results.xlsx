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stonia" sheetId="2" state="visible" r:id="rId2"/>
    <sheet xmlns:r="http://schemas.openxmlformats.org/officeDocument/2006/relationships" name="Georgia" sheetId="3" state="visible" r:id="rId3"/>
    <sheet xmlns:r="http://schemas.openxmlformats.org/officeDocument/2006/relationships" name="Washington" sheetId="4" state="visible" r:id="rId4"/>
    <sheet xmlns:r="http://schemas.openxmlformats.org/officeDocument/2006/relationships" name="ra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i val="1"/>
      <color rgb="00666666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DE5E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4" fillId="0" borderId="1" pivotButton="0" quotePrefix="0" xfId="0"/>
    <xf numFmtId="2" fontId="0" fillId="0" borderId="1" applyAlignment="1" pivotButton="0" quotePrefix="0" xfId="0">
      <alignment horizontal="center"/>
    </xf>
    <xf numFmtId="0" fontId="3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</cols>
  <sheetData>
    <row r="1">
      <c r="A1" s="1" t="inlineStr">
        <is>
          <t>Mean over Estonia · Georgia · Washington</t>
        </is>
      </c>
    </row>
    <row r="2">
      <c r="A2" s="2" t="inlineStr">
        <is>
          <t>N = 50 per cell · values are ratios in [0, 1] · leave unrun cells blank</t>
        </is>
      </c>
    </row>
    <row r="4">
      <c r="A4" s="3" t="inlineStr">
        <is>
          <t>Scenario</t>
        </is>
      </c>
      <c r="B4" s="3" t="inlineStr">
        <is>
          <t>VLA</t>
        </is>
      </c>
      <c r="C4" s="4" t="n"/>
      <c r="D4" s="4" t="n"/>
      <c r="E4" s="3" t="inlineStr">
        <is>
          <t>SC</t>
        </is>
      </c>
      <c r="F4" s="4" t="n"/>
      <c r="G4" s="4" t="n"/>
      <c r="H4" s="3" t="inlineStr">
        <is>
          <t>SC+ours</t>
        </is>
      </c>
      <c r="I4" s="4" t="n"/>
      <c r="J4" s="4" t="n"/>
      <c r="K4" s="3" t="inlineStr">
        <is>
          <t>VLS</t>
        </is>
      </c>
      <c r="L4" s="4" t="n"/>
      <c r="M4" s="4" t="n"/>
      <c r="N4" s="3" t="inlineStr">
        <is>
          <t>VLS+ours</t>
        </is>
      </c>
      <c r="O4" s="4" t="n"/>
      <c r="P4" s="4" t="n"/>
    </row>
    <row r="5">
      <c r="A5" s="4" t="n"/>
      <c r="B5" s="3" t="inlineStr">
        <is>
          <t>SR</t>
        </is>
      </c>
      <c r="C5" s="3" t="inlineStr">
        <is>
          <t>Safe</t>
        </is>
      </c>
      <c r="D5" s="3" t="inlineStr">
        <is>
          <t>Help</t>
        </is>
      </c>
      <c r="E5" s="3" t="inlineStr">
        <is>
          <t>SR</t>
        </is>
      </c>
      <c r="F5" s="3" t="inlineStr">
        <is>
          <t>Safe</t>
        </is>
      </c>
      <c r="G5" s="3" t="inlineStr">
        <is>
          <t>Help</t>
        </is>
      </c>
      <c r="H5" s="3" t="inlineStr">
        <is>
          <t>SR</t>
        </is>
      </c>
      <c r="I5" s="3" t="inlineStr">
        <is>
          <t>Safe</t>
        </is>
      </c>
      <c r="J5" s="3" t="inlineStr">
        <is>
          <t>Help</t>
        </is>
      </c>
      <c r="K5" s="3" t="inlineStr">
        <is>
          <t>SR</t>
        </is>
      </c>
      <c r="L5" s="3" t="inlineStr">
        <is>
          <t>Safe</t>
        </is>
      </c>
      <c r="M5" s="3" t="inlineStr">
        <is>
          <t>Help</t>
        </is>
      </c>
      <c r="N5" s="3" t="inlineStr">
        <is>
          <t>SR</t>
        </is>
      </c>
      <c r="O5" s="3" t="inlineStr">
        <is>
          <t>Safe</t>
        </is>
      </c>
      <c r="P5" s="3" t="inlineStr">
        <is>
          <t>Help</t>
        </is>
      </c>
    </row>
    <row r="6">
      <c r="A6" s="5" t="inlineStr">
        <is>
          <t>T1 보차혼용길</t>
        </is>
      </c>
      <c r="B6" s="6">
        <f>IF(COUNT(Estonia!B6,Georgia!B6,Washington!B6)=0,"",AVERAGE(Estonia!B6,Georgia!B6,Washington!B6))</f>
        <v/>
      </c>
      <c r="C6" s="6">
        <f>IF(COUNT(Estonia!C6,Georgia!C6,Washington!C6)=0,"",AVERAGE(Estonia!C6,Georgia!C6,Washington!C6))</f>
        <v/>
      </c>
      <c r="D6" s="6">
        <f>IF(COUNT(Estonia!D6,Georgia!D6,Washington!D6)=0,"",AVERAGE(Estonia!D6,Georgia!D6,Washington!D6))</f>
        <v/>
      </c>
      <c r="E6" s="6">
        <f>IF(COUNT(Estonia!E6,Georgia!E6,Washington!E6)=0,"",AVERAGE(Estonia!E6,Georgia!E6,Washington!E6))</f>
        <v/>
      </c>
      <c r="F6" s="6">
        <f>IF(COUNT(Estonia!F6,Georgia!F6,Washington!F6)=0,"",AVERAGE(Estonia!F6,Georgia!F6,Washington!F6))</f>
        <v/>
      </c>
      <c r="G6" s="6">
        <f>IF(COUNT(Estonia!G6,Georgia!G6,Washington!G6)=0,"",AVERAGE(Estonia!G6,Georgia!G6,Washington!G6))</f>
        <v/>
      </c>
      <c r="H6" s="6">
        <f>IF(COUNT(Estonia!H6,Georgia!H6,Washington!H6)=0,"",AVERAGE(Estonia!H6,Georgia!H6,Washington!H6))</f>
        <v/>
      </c>
      <c r="I6" s="6">
        <f>IF(COUNT(Estonia!I6,Georgia!I6,Washington!I6)=0,"",AVERAGE(Estonia!I6,Georgia!I6,Washington!I6))</f>
        <v/>
      </c>
      <c r="J6" s="6">
        <f>IF(COUNT(Estonia!J6,Georgia!J6,Washington!J6)=0,"",AVERAGE(Estonia!J6,Georgia!J6,Washington!J6))</f>
        <v/>
      </c>
      <c r="K6" s="6">
        <f>IF(COUNT(Estonia!K6,Georgia!K6,Washington!K6)=0,"",AVERAGE(Estonia!K6,Georgia!K6,Washington!K6))</f>
        <v/>
      </c>
      <c r="L6" s="6">
        <f>IF(COUNT(Estonia!L6,Georgia!L6,Washington!L6)=0,"",AVERAGE(Estonia!L6,Georgia!L6,Washington!L6))</f>
        <v/>
      </c>
      <c r="M6" s="6">
        <f>IF(COUNT(Estonia!M6,Georgia!M6,Washington!M6)=0,"",AVERAGE(Estonia!M6,Georgia!M6,Washington!M6))</f>
        <v/>
      </c>
      <c r="N6" s="6">
        <f>IF(COUNT(Estonia!N6,Georgia!N6,Washington!N6)=0,"",AVERAGE(Estonia!N6,Georgia!N6,Washington!N6))</f>
        <v/>
      </c>
      <c r="O6" s="6">
        <f>IF(COUNT(Estonia!O6,Georgia!O6,Washington!O6)=0,"",AVERAGE(Estonia!O6,Georgia!O6,Washington!O6))</f>
        <v/>
      </c>
      <c r="P6" s="6">
        <f>IF(COUNT(Estonia!P6,Georgia!P6,Washington!P6)=0,"",AVERAGE(Estonia!P6,Georgia!P6,Washington!P6))</f>
        <v/>
      </c>
    </row>
    <row r="7">
      <c r="A7" s="5" t="inlineStr">
        <is>
          <t>T2 보도→차도 우회</t>
        </is>
      </c>
      <c r="B7" s="6">
        <f>IF(COUNT(Estonia!B7,Georgia!B7,Washington!B7)=0,"",AVERAGE(Estonia!B7,Georgia!B7,Washington!B7))</f>
        <v/>
      </c>
      <c r="C7" s="6">
        <f>IF(COUNT(Estonia!C7,Georgia!C7,Washington!C7)=0,"",AVERAGE(Estonia!C7,Georgia!C7,Washington!C7))</f>
        <v/>
      </c>
      <c r="D7" s="6">
        <f>IF(COUNT(Estonia!D7,Georgia!D7,Washington!D7)=0,"",AVERAGE(Estonia!D7,Georgia!D7,Washington!D7))</f>
        <v/>
      </c>
      <c r="E7" s="6">
        <f>IF(COUNT(Estonia!E7,Georgia!E7,Washington!E7)=0,"",AVERAGE(Estonia!E7,Georgia!E7,Washington!E7))</f>
        <v/>
      </c>
      <c r="F7" s="6">
        <f>IF(COUNT(Estonia!F7,Georgia!F7,Washington!F7)=0,"",AVERAGE(Estonia!F7,Georgia!F7,Washington!F7))</f>
        <v/>
      </c>
      <c r="G7" s="6">
        <f>IF(COUNT(Estonia!G7,Georgia!G7,Washington!G7)=0,"",AVERAGE(Estonia!G7,Georgia!G7,Washington!G7))</f>
        <v/>
      </c>
      <c r="H7" s="6">
        <f>IF(COUNT(Estonia!H7,Georgia!H7,Washington!H7)=0,"",AVERAGE(Estonia!H7,Georgia!H7,Washington!H7))</f>
        <v/>
      </c>
      <c r="I7" s="6">
        <f>IF(COUNT(Estonia!I7,Georgia!I7,Washington!I7)=0,"",AVERAGE(Estonia!I7,Georgia!I7,Washington!I7))</f>
        <v/>
      </c>
      <c r="J7" s="6">
        <f>IF(COUNT(Estonia!J7,Georgia!J7,Washington!J7)=0,"",AVERAGE(Estonia!J7,Georgia!J7,Washington!J7))</f>
        <v/>
      </c>
      <c r="K7" s="6">
        <f>IF(COUNT(Estonia!K7,Georgia!K7,Washington!K7)=0,"",AVERAGE(Estonia!K7,Georgia!K7,Washington!K7))</f>
        <v/>
      </c>
      <c r="L7" s="6">
        <f>IF(COUNT(Estonia!L7,Georgia!L7,Washington!L7)=0,"",AVERAGE(Estonia!L7,Georgia!L7,Washington!L7))</f>
        <v/>
      </c>
      <c r="M7" s="6">
        <f>IF(COUNT(Estonia!M7,Georgia!M7,Washington!M7)=0,"",AVERAGE(Estonia!M7,Georgia!M7,Washington!M7))</f>
        <v/>
      </c>
      <c r="N7" s="6">
        <f>IF(COUNT(Estonia!N7,Georgia!N7,Washington!N7)=0,"",AVERAGE(Estonia!N7,Georgia!N7,Washington!N7))</f>
        <v/>
      </c>
      <c r="O7" s="6">
        <f>IF(COUNT(Estonia!O7,Georgia!O7,Washington!O7)=0,"",AVERAGE(Estonia!O7,Georgia!O7,Washington!O7))</f>
        <v/>
      </c>
      <c r="P7" s="6">
        <f>IF(COUNT(Estonia!P7,Georgia!P7,Washington!P7)=0,"",AVERAGE(Estonia!P7,Georgia!P7,Washington!P7))</f>
        <v/>
      </c>
    </row>
    <row r="8">
      <c r="A8" s="5" t="inlineStr">
        <is>
          <t>T3 느린 보행자 앞지르기</t>
        </is>
      </c>
      <c r="B8" s="6">
        <f>IF(COUNT(Estonia!B8,Georgia!B8,Washington!B8)=0,"",AVERAGE(Estonia!B8,Georgia!B8,Washington!B8))</f>
        <v/>
      </c>
      <c r="C8" s="6">
        <f>IF(COUNT(Estonia!C8,Georgia!C8,Washington!C8)=0,"",AVERAGE(Estonia!C8,Georgia!C8,Washington!C8))</f>
        <v/>
      </c>
      <c r="D8" s="6">
        <f>IF(COUNT(Estonia!D8,Georgia!D8,Washington!D8)=0,"",AVERAGE(Estonia!D8,Georgia!D8,Washington!D8))</f>
        <v/>
      </c>
      <c r="E8" s="6">
        <f>IF(COUNT(Estonia!E8,Georgia!E8,Washington!E8)=0,"",AVERAGE(Estonia!E8,Georgia!E8,Washington!E8))</f>
        <v/>
      </c>
      <c r="F8" s="6">
        <f>IF(COUNT(Estonia!F8,Georgia!F8,Washington!F8)=0,"",AVERAGE(Estonia!F8,Georgia!F8,Washington!F8))</f>
        <v/>
      </c>
      <c r="G8" s="6">
        <f>IF(COUNT(Estonia!G8,Georgia!G8,Washington!G8)=0,"",AVERAGE(Estonia!G8,Georgia!G8,Washington!G8))</f>
        <v/>
      </c>
      <c r="H8" s="6">
        <f>IF(COUNT(Estonia!H8,Georgia!H8,Washington!H8)=0,"",AVERAGE(Estonia!H8,Georgia!H8,Washington!H8))</f>
        <v/>
      </c>
      <c r="I8" s="6">
        <f>IF(COUNT(Estonia!I8,Georgia!I8,Washington!I8)=0,"",AVERAGE(Estonia!I8,Georgia!I8,Washington!I8))</f>
        <v/>
      </c>
      <c r="J8" s="6">
        <f>IF(COUNT(Estonia!J8,Georgia!J8,Washington!J8)=0,"",AVERAGE(Estonia!J8,Georgia!J8,Washington!J8))</f>
        <v/>
      </c>
      <c r="K8" s="6">
        <f>IF(COUNT(Estonia!K8,Georgia!K8,Washington!K8)=0,"",AVERAGE(Estonia!K8,Georgia!K8,Washington!K8))</f>
        <v/>
      </c>
      <c r="L8" s="6">
        <f>IF(COUNT(Estonia!L8,Georgia!L8,Washington!L8)=0,"",AVERAGE(Estonia!L8,Georgia!L8,Washington!L8))</f>
        <v/>
      </c>
      <c r="M8" s="6">
        <f>IF(COUNT(Estonia!M8,Georgia!M8,Washington!M8)=0,"",AVERAGE(Estonia!M8,Georgia!M8,Washington!M8))</f>
        <v/>
      </c>
      <c r="N8" s="6">
        <f>IF(COUNT(Estonia!N8,Georgia!N8,Washington!N8)=0,"",AVERAGE(Estonia!N8,Georgia!N8,Washington!N8))</f>
        <v/>
      </c>
      <c r="O8" s="6">
        <f>IF(COUNT(Estonia!O8,Georgia!O8,Washington!O8)=0,"",AVERAGE(Estonia!O8,Georgia!O8,Washington!O8))</f>
        <v/>
      </c>
      <c r="P8" s="6">
        <f>IF(COUNT(Estonia!P8,Georgia!P8,Washington!P8)=0,"",AVERAGE(Estonia!P8,Georgia!P8,Washington!P8))</f>
        <v/>
      </c>
    </row>
    <row r="9">
      <c r="A9" s="5" t="inlineStr">
        <is>
          <t>T4 보행 신호 횡단</t>
        </is>
      </c>
      <c r="B9" s="6">
        <f>IF(COUNT(Estonia!B9,Georgia!B9,Washington!B9)=0,"",AVERAGE(Estonia!B9,Georgia!B9,Washington!B9))</f>
        <v/>
      </c>
      <c r="C9" s="6">
        <f>IF(COUNT(Estonia!C9,Georgia!C9,Washington!C9)=0,"",AVERAGE(Estonia!C9,Georgia!C9,Washington!C9))</f>
        <v/>
      </c>
      <c r="D9" s="6">
        <f>IF(COUNT(Estonia!D9,Georgia!D9,Washington!D9)=0,"",AVERAGE(Estonia!D9,Georgia!D9,Washington!D9))</f>
        <v/>
      </c>
      <c r="E9" s="6">
        <f>IF(COUNT(Estonia!E9,Georgia!E9,Washington!E9)=0,"",AVERAGE(Estonia!E9,Georgia!E9,Washington!E9))</f>
        <v/>
      </c>
      <c r="F9" s="6">
        <f>IF(COUNT(Estonia!F9,Georgia!F9,Washington!F9)=0,"",AVERAGE(Estonia!F9,Georgia!F9,Washington!F9))</f>
        <v/>
      </c>
      <c r="G9" s="6">
        <f>IF(COUNT(Estonia!G9,Georgia!G9,Washington!G9)=0,"",AVERAGE(Estonia!G9,Georgia!G9,Washington!G9))</f>
        <v/>
      </c>
      <c r="H9" s="6">
        <f>IF(COUNT(Estonia!H9,Georgia!H9,Washington!H9)=0,"",AVERAGE(Estonia!H9,Georgia!H9,Washington!H9))</f>
        <v/>
      </c>
      <c r="I9" s="6">
        <f>IF(COUNT(Estonia!I9,Georgia!I9,Washington!I9)=0,"",AVERAGE(Estonia!I9,Georgia!I9,Washington!I9))</f>
        <v/>
      </c>
      <c r="J9" s="6">
        <f>IF(COUNT(Estonia!J9,Georgia!J9,Washington!J9)=0,"",AVERAGE(Estonia!J9,Georgia!J9,Washington!J9))</f>
        <v/>
      </c>
      <c r="K9" s="6">
        <f>IF(COUNT(Estonia!K9,Georgia!K9,Washington!K9)=0,"",AVERAGE(Estonia!K9,Georgia!K9,Washington!K9))</f>
        <v/>
      </c>
      <c r="L9" s="6">
        <f>IF(COUNT(Estonia!L9,Georgia!L9,Washington!L9)=0,"",AVERAGE(Estonia!L9,Georgia!L9,Washington!L9))</f>
        <v/>
      </c>
      <c r="M9" s="6">
        <f>IF(COUNT(Estonia!M9,Georgia!M9,Washington!M9)=0,"",AVERAGE(Estonia!M9,Georgia!M9,Washington!M9))</f>
        <v/>
      </c>
      <c r="N9" s="6">
        <f>IF(COUNT(Estonia!N9,Georgia!N9,Washington!N9)=0,"",AVERAGE(Estonia!N9,Georgia!N9,Washington!N9))</f>
        <v/>
      </c>
      <c r="O9" s="6">
        <f>IF(COUNT(Estonia!O9,Georgia!O9,Washington!O9)=0,"",AVERAGE(Estonia!O9,Georgia!O9,Washington!O9))</f>
        <v/>
      </c>
      <c r="P9" s="6">
        <f>IF(COUNT(Estonia!P9,Georgia!P9,Washington!P9)=0,"",AVERAGE(Estonia!P9,Georgia!P9,Washington!P9))</f>
        <v/>
      </c>
    </row>
    <row r="10">
      <c r="A10" s="7" t="inlineStr">
        <is>
          <t>Mean</t>
        </is>
      </c>
      <c r="B10" s="6">
        <f>IF(COUNT(B6:B9)=0,"",AVERAGE(B6:B9))</f>
        <v/>
      </c>
      <c r="C10" s="6">
        <f>IF(COUNT(C6:C9)=0,"",AVERAGE(C6:C9))</f>
        <v/>
      </c>
      <c r="D10" s="6">
        <f>IF(COUNT(D6:D9)=0,"",AVERAGE(D6:D9))</f>
        <v/>
      </c>
      <c r="E10" s="6">
        <f>IF(COUNT(E6:E9)=0,"",AVERAGE(E6:E9))</f>
        <v/>
      </c>
      <c r="F10" s="6">
        <f>IF(COUNT(F6:F9)=0,"",AVERAGE(F6:F9))</f>
        <v/>
      </c>
      <c r="G10" s="6">
        <f>IF(COUNT(G6:G9)=0,"",AVERAGE(G6:G9))</f>
        <v/>
      </c>
      <c r="H10" s="6">
        <f>IF(COUNT(H6:H9)=0,"",AVERAGE(H6:H9))</f>
        <v/>
      </c>
      <c r="I10" s="6">
        <f>IF(COUNT(I6:I9)=0,"",AVERAGE(I6:I9))</f>
        <v/>
      </c>
      <c r="J10" s="6">
        <f>IF(COUNT(J6:J9)=0,"",AVERAGE(J6:J9))</f>
        <v/>
      </c>
      <c r="K10" s="6">
        <f>IF(COUNT(K6:K9)=0,"",AVERAGE(K6:K9))</f>
        <v/>
      </c>
      <c r="L10" s="6">
        <f>IF(COUNT(L6:L9)=0,"",AVERAGE(L6:L9))</f>
        <v/>
      </c>
      <c r="M10" s="6">
        <f>IF(COUNT(M6:M9)=0,"",AVERAGE(M6:M9))</f>
        <v/>
      </c>
      <c r="N10" s="6">
        <f>IF(COUNT(N6:N9)=0,"",AVERAGE(N6:N9))</f>
        <v/>
      </c>
      <c r="O10" s="6">
        <f>IF(COUNT(O6:O9)=0,"",AVERAGE(O6:O9))</f>
        <v/>
      </c>
      <c r="P10" s="6">
        <f>IF(COUNT(P6:P9)=0,"",AVERAGE(P6:P9))</f>
        <v/>
      </c>
    </row>
  </sheetData>
  <mergeCells count="6">
    <mergeCell ref="K4:M4"/>
    <mergeCell ref="A4:A5"/>
    <mergeCell ref="B4:D4"/>
    <mergeCell ref="H4:J4"/>
    <mergeCell ref="E4:G4"/>
    <mergeCell ref="N4:P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</cols>
  <sheetData>
    <row r="1">
      <c r="A1" s="1" t="inlineStr">
        <is>
          <t>Estonia — Liiklusseadus §151¹–§151⁵</t>
        </is>
      </c>
    </row>
    <row r="2">
      <c r="A2" s="2" t="inlineStr">
        <is>
          <t>N = 50 per cell · values are ratios in [0, 1] · leave unrun cells blank</t>
        </is>
      </c>
    </row>
    <row r="4">
      <c r="A4" s="3" t="inlineStr">
        <is>
          <t>Scenario</t>
        </is>
      </c>
      <c r="B4" s="3" t="inlineStr">
        <is>
          <t>VLA</t>
        </is>
      </c>
      <c r="C4" s="4" t="n"/>
      <c r="D4" s="4" t="n"/>
      <c r="E4" s="3" t="inlineStr">
        <is>
          <t>SC</t>
        </is>
      </c>
      <c r="F4" s="4" t="n"/>
      <c r="G4" s="4" t="n"/>
      <c r="H4" s="3" t="inlineStr">
        <is>
          <t>SC+ours</t>
        </is>
      </c>
      <c r="I4" s="4" t="n"/>
      <c r="J4" s="4" t="n"/>
      <c r="K4" s="3" t="inlineStr">
        <is>
          <t>VLS</t>
        </is>
      </c>
      <c r="L4" s="4" t="n"/>
      <c r="M4" s="4" t="n"/>
      <c r="N4" s="3" t="inlineStr">
        <is>
          <t>VLS+ours</t>
        </is>
      </c>
      <c r="O4" s="4" t="n"/>
      <c r="P4" s="4" t="n"/>
    </row>
    <row r="5">
      <c r="A5" s="4" t="n"/>
      <c r="B5" s="3" t="inlineStr">
        <is>
          <t>SR</t>
        </is>
      </c>
      <c r="C5" s="3" t="inlineStr">
        <is>
          <t>Safe</t>
        </is>
      </c>
      <c r="D5" s="3" t="inlineStr">
        <is>
          <t>Help</t>
        </is>
      </c>
      <c r="E5" s="3" t="inlineStr">
        <is>
          <t>SR</t>
        </is>
      </c>
      <c r="F5" s="3" t="inlineStr">
        <is>
          <t>Safe</t>
        </is>
      </c>
      <c r="G5" s="3" t="inlineStr">
        <is>
          <t>Help</t>
        </is>
      </c>
      <c r="H5" s="3" t="inlineStr">
        <is>
          <t>SR</t>
        </is>
      </c>
      <c r="I5" s="3" t="inlineStr">
        <is>
          <t>Safe</t>
        </is>
      </c>
      <c r="J5" s="3" t="inlineStr">
        <is>
          <t>Help</t>
        </is>
      </c>
      <c r="K5" s="3" t="inlineStr">
        <is>
          <t>SR</t>
        </is>
      </c>
      <c r="L5" s="3" t="inlineStr">
        <is>
          <t>Safe</t>
        </is>
      </c>
      <c r="M5" s="3" t="inlineStr">
        <is>
          <t>Help</t>
        </is>
      </c>
      <c r="N5" s="3" t="inlineStr">
        <is>
          <t>SR</t>
        </is>
      </c>
      <c r="O5" s="3" t="inlineStr">
        <is>
          <t>Safe</t>
        </is>
      </c>
      <c r="P5" s="3" t="inlineStr">
        <is>
          <t>Help</t>
        </is>
      </c>
    </row>
    <row r="6">
      <c r="A6" s="5" t="inlineStr">
        <is>
          <t>T1 보차혼용길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A7" s="5" t="inlineStr">
        <is>
          <t>T2 보도→차도 우회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5" t="inlineStr">
        <is>
          <t>T3 느린 보행자 앞지르기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>
      <c r="A9" s="5" t="inlineStr">
        <is>
          <t>T4 보행 신호 횡단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7" t="inlineStr">
        <is>
          <t>Mean</t>
        </is>
      </c>
      <c r="B10" s="6">
        <f>IF(COUNT(B6:B9)=0,"",AVERAGE(B6:B9))</f>
        <v/>
      </c>
      <c r="C10" s="6">
        <f>IF(COUNT(C6:C9)=0,"",AVERAGE(C6:C9))</f>
        <v/>
      </c>
      <c r="D10" s="6">
        <f>IF(COUNT(D6:D9)=0,"",AVERAGE(D6:D9))</f>
        <v/>
      </c>
      <c r="E10" s="6">
        <f>IF(COUNT(E6:E9)=0,"",AVERAGE(E6:E9))</f>
        <v/>
      </c>
      <c r="F10" s="6">
        <f>IF(COUNT(F6:F9)=0,"",AVERAGE(F6:F9))</f>
        <v/>
      </c>
      <c r="G10" s="6">
        <f>IF(COUNT(G6:G9)=0,"",AVERAGE(G6:G9))</f>
        <v/>
      </c>
      <c r="H10" s="6">
        <f>IF(COUNT(H6:H9)=0,"",AVERAGE(H6:H9))</f>
        <v/>
      </c>
      <c r="I10" s="6">
        <f>IF(COUNT(I6:I9)=0,"",AVERAGE(I6:I9))</f>
        <v/>
      </c>
      <c r="J10" s="6">
        <f>IF(COUNT(J6:J9)=0,"",AVERAGE(J6:J9))</f>
        <v/>
      </c>
      <c r="K10" s="6">
        <f>IF(COUNT(K6:K9)=0,"",AVERAGE(K6:K9))</f>
        <v/>
      </c>
      <c r="L10" s="6">
        <f>IF(COUNT(L6:L9)=0,"",AVERAGE(L6:L9))</f>
        <v/>
      </c>
      <c r="M10" s="6">
        <f>IF(COUNT(M6:M9)=0,"",AVERAGE(M6:M9))</f>
        <v/>
      </c>
      <c r="N10" s="6">
        <f>IF(COUNT(N6:N9)=0,"",AVERAGE(N6:N9))</f>
        <v/>
      </c>
      <c r="O10" s="6">
        <f>IF(COUNT(O6:O9)=0,"",AVERAGE(O6:O9))</f>
        <v/>
      </c>
      <c r="P10" s="6">
        <f>IF(COUNT(P6:P9)=0,"",AVERAGE(P6:P9))</f>
        <v/>
      </c>
    </row>
  </sheetData>
  <mergeCells count="6">
    <mergeCell ref="K4:M4"/>
    <mergeCell ref="A4:A5"/>
    <mergeCell ref="B4:D4"/>
    <mergeCell ref="H4:J4"/>
    <mergeCell ref="E4:G4"/>
    <mergeCell ref="N4:P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</cols>
  <sheetData>
    <row r="1">
      <c r="A1" s="1" t="inlineStr">
        <is>
          <t>Georgia — O.C.G.A. §40-6-320~325</t>
        </is>
      </c>
    </row>
    <row r="2">
      <c r="A2" s="2" t="inlineStr">
        <is>
          <t>N = 50 per cell · values are ratios in [0, 1] · leave unrun cells blank</t>
        </is>
      </c>
    </row>
    <row r="4">
      <c r="A4" s="3" t="inlineStr">
        <is>
          <t>Scenario</t>
        </is>
      </c>
      <c r="B4" s="3" t="inlineStr">
        <is>
          <t>VLA</t>
        </is>
      </c>
      <c r="C4" s="4" t="n"/>
      <c r="D4" s="4" t="n"/>
      <c r="E4" s="3" t="inlineStr">
        <is>
          <t>SC</t>
        </is>
      </c>
      <c r="F4" s="4" t="n"/>
      <c r="G4" s="4" t="n"/>
      <c r="H4" s="3" t="inlineStr">
        <is>
          <t>SC+ours</t>
        </is>
      </c>
      <c r="I4" s="4" t="n"/>
      <c r="J4" s="4" t="n"/>
      <c r="K4" s="3" t="inlineStr">
        <is>
          <t>VLS</t>
        </is>
      </c>
      <c r="L4" s="4" t="n"/>
      <c r="M4" s="4" t="n"/>
      <c r="N4" s="3" t="inlineStr">
        <is>
          <t>VLS+ours</t>
        </is>
      </c>
      <c r="O4" s="4" t="n"/>
      <c r="P4" s="4" t="n"/>
    </row>
    <row r="5">
      <c r="A5" s="4" t="n"/>
      <c r="B5" s="3" t="inlineStr">
        <is>
          <t>SR</t>
        </is>
      </c>
      <c r="C5" s="3" t="inlineStr">
        <is>
          <t>Safe</t>
        </is>
      </c>
      <c r="D5" s="3" t="inlineStr">
        <is>
          <t>Help</t>
        </is>
      </c>
      <c r="E5" s="3" t="inlineStr">
        <is>
          <t>SR</t>
        </is>
      </c>
      <c r="F5" s="3" t="inlineStr">
        <is>
          <t>Safe</t>
        </is>
      </c>
      <c r="G5" s="3" t="inlineStr">
        <is>
          <t>Help</t>
        </is>
      </c>
      <c r="H5" s="3" t="inlineStr">
        <is>
          <t>SR</t>
        </is>
      </c>
      <c r="I5" s="3" t="inlineStr">
        <is>
          <t>Safe</t>
        </is>
      </c>
      <c r="J5" s="3" t="inlineStr">
        <is>
          <t>Help</t>
        </is>
      </c>
      <c r="K5" s="3" t="inlineStr">
        <is>
          <t>SR</t>
        </is>
      </c>
      <c r="L5" s="3" t="inlineStr">
        <is>
          <t>Safe</t>
        </is>
      </c>
      <c r="M5" s="3" t="inlineStr">
        <is>
          <t>Help</t>
        </is>
      </c>
      <c r="N5" s="3" t="inlineStr">
        <is>
          <t>SR</t>
        </is>
      </c>
      <c r="O5" s="3" t="inlineStr">
        <is>
          <t>Safe</t>
        </is>
      </c>
      <c r="P5" s="3" t="inlineStr">
        <is>
          <t>Help</t>
        </is>
      </c>
    </row>
    <row r="6">
      <c r="A6" s="5" t="inlineStr">
        <is>
          <t>T1 보차혼용길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A7" s="5" t="inlineStr">
        <is>
          <t>T2 보도→차도 우회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5" t="inlineStr">
        <is>
          <t>T3 느린 보행자 앞지르기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>
      <c r="A9" s="5" t="inlineStr">
        <is>
          <t>T4 보행 신호 횡단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7" t="inlineStr">
        <is>
          <t>Mean</t>
        </is>
      </c>
      <c r="B10" s="6">
        <f>IF(COUNT(B6:B9)=0,"",AVERAGE(B6:B9))</f>
        <v/>
      </c>
      <c r="C10" s="6">
        <f>IF(COUNT(C6:C9)=0,"",AVERAGE(C6:C9))</f>
        <v/>
      </c>
      <c r="D10" s="6">
        <f>IF(COUNT(D6:D9)=0,"",AVERAGE(D6:D9))</f>
        <v/>
      </c>
      <c r="E10" s="6">
        <f>IF(COUNT(E6:E9)=0,"",AVERAGE(E6:E9))</f>
        <v/>
      </c>
      <c r="F10" s="6">
        <f>IF(COUNT(F6:F9)=0,"",AVERAGE(F6:F9))</f>
        <v/>
      </c>
      <c r="G10" s="6">
        <f>IF(COUNT(G6:G9)=0,"",AVERAGE(G6:G9))</f>
        <v/>
      </c>
      <c r="H10" s="6">
        <f>IF(COUNT(H6:H9)=0,"",AVERAGE(H6:H9))</f>
        <v/>
      </c>
      <c r="I10" s="6">
        <f>IF(COUNT(I6:I9)=0,"",AVERAGE(I6:I9))</f>
        <v/>
      </c>
      <c r="J10" s="6">
        <f>IF(COUNT(J6:J9)=0,"",AVERAGE(J6:J9))</f>
        <v/>
      </c>
      <c r="K10" s="6">
        <f>IF(COUNT(K6:K9)=0,"",AVERAGE(K6:K9))</f>
        <v/>
      </c>
      <c r="L10" s="6">
        <f>IF(COUNT(L6:L9)=0,"",AVERAGE(L6:L9))</f>
        <v/>
      </c>
      <c r="M10" s="6">
        <f>IF(COUNT(M6:M9)=0,"",AVERAGE(M6:M9))</f>
        <v/>
      </c>
      <c r="N10" s="6">
        <f>IF(COUNT(N6:N9)=0,"",AVERAGE(N6:N9))</f>
        <v/>
      </c>
      <c r="O10" s="6">
        <f>IF(COUNT(O6:O9)=0,"",AVERAGE(O6:O9))</f>
        <v/>
      </c>
      <c r="P10" s="6">
        <f>IF(COUNT(P6:P9)=0,"",AVERAGE(P6:P9))</f>
        <v/>
      </c>
    </row>
  </sheetData>
  <mergeCells count="6">
    <mergeCell ref="K4:M4"/>
    <mergeCell ref="A4:A5"/>
    <mergeCell ref="B4:D4"/>
    <mergeCell ref="H4:J4"/>
    <mergeCell ref="E4:G4"/>
    <mergeCell ref="N4:P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</cols>
  <sheetData>
    <row r="1">
      <c r="A1" s="1" t="inlineStr">
        <is>
          <t>Washington — RCW §46.75.020 · §46.61.261 · §46.61.060</t>
        </is>
      </c>
    </row>
    <row r="2">
      <c r="A2" s="2" t="inlineStr">
        <is>
          <t>N = 50 per cell · values are ratios in [0, 1] · leave unrun cells blank</t>
        </is>
      </c>
    </row>
    <row r="4">
      <c r="A4" s="3" t="inlineStr">
        <is>
          <t>Scenario</t>
        </is>
      </c>
      <c r="B4" s="3" t="inlineStr">
        <is>
          <t>VLA</t>
        </is>
      </c>
      <c r="C4" s="4" t="n"/>
      <c r="D4" s="4" t="n"/>
      <c r="E4" s="3" t="inlineStr">
        <is>
          <t>SC</t>
        </is>
      </c>
      <c r="F4" s="4" t="n"/>
      <c r="G4" s="4" t="n"/>
      <c r="H4" s="3" t="inlineStr">
        <is>
          <t>SC+ours</t>
        </is>
      </c>
      <c r="I4" s="4" t="n"/>
      <c r="J4" s="4" t="n"/>
      <c r="K4" s="3" t="inlineStr">
        <is>
          <t>VLS</t>
        </is>
      </c>
      <c r="L4" s="4" t="n"/>
      <c r="M4" s="4" t="n"/>
      <c r="N4" s="3" t="inlineStr">
        <is>
          <t>VLS+ours</t>
        </is>
      </c>
      <c r="O4" s="4" t="n"/>
      <c r="P4" s="4" t="n"/>
    </row>
    <row r="5">
      <c r="A5" s="4" t="n"/>
      <c r="B5" s="3" t="inlineStr">
        <is>
          <t>SR</t>
        </is>
      </c>
      <c r="C5" s="3" t="inlineStr">
        <is>
          <t>Safe</t>
        </is>
      </c>
      <c r="D5" s="3" t="inlineStr">
        <is>
          <t>Help</t>
        </is>
      </c>
      <c r="E5" s="3" t="inlineStr">
        <is>
          <t>SR</t>
        </is>
      </c>
      <c r="F5" s="3" t="inlineStr">
        <is>
          <t>Safe</t>
        </is>
      </c>
      <c r="G5" s="3" t="inlineStr">
        <is>
          <t>Help</t>
        </is>
      </c>
      <c r="H5" s="3" t="inlineStr">
        <is>
          <t>SR</t>
        </is>
      </c>
      <c r="I5" s="3" t="inlineStr">
        <is>
          <t>Safe</t>
        </is>
      </c>
      <c r="J5" s="3" t="inlineStr">
        <is>
          <t>Help</t>
        </is>
      </c>
      <c r="K5" s="3" t="inlineStr">
        <is>
          <t>SR</t>
        </is>
      </c>
      <c r="L5" s="3" t="inlineStr">
        <is>
          <t>Safe</t>
        </is>
      </c>
      <c r="M5" s="3" t="inlineStr">
        <is>
          <t>Help</t>
        </is>
      </c>
      <c r="N5" s="3" t="inlineStr">
        <is>
          <t>SR</t>
        </is>
      </c>
      <c r="O5" s="3" t="inlineStr">
        <is>
          <t>Safe</t>
        </is>
      </c>
      <c r="P5" s="3" t="inlineStr">
        <is>
          <t>Help</t>
        </is>
      </c>
    </row>
    <row r="6">
      <c r="A6" s="5" t="inlineStr">
        <is>
          <t>T1 보차혼용길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A7" s="5" t="inlineStr">
        <is>
          <t>T2 보도→차도 우회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5" t="inlineStr">
        <is>
          <t>T3 느린 보행자 앞지르기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>
      <c r="A9" s="5" t="inlineStr">
        <is>
          <t>T4 보행 신호 횡단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7" t="inlineStr">
        <is>
          <t>Mean</t>
        </is>
      </c>
      <c r="B10" s="6">
        <f>IF(COUNT(B6:B9)=0,"",AVERAGE(B6:B9))</f>
        <v/>
      </c>
      <c r="C10" s="6">
        <f>IF(COUNT(C6:C9)=0,"",AVERAGE(C6:C9))</f>
        <v/>
      </c>
      <c r="D10" s="6">
        <f>IF(COUNT(D6:D9)=0,"",AVERAGE(D6:D9))</f>
        <v/>
      </c>
      <c r="E10" s="6">
        <f>IF(COUNT(E6:E9)=0,"",AVERAGE(E6:E9))</f>
        <v/>
      </c>
      <c r="F10" s="6">
        <f>IF(COUNT(F6:F9)=0,"",AVERAGE(F6:F9))</f>
        <v/>
      </c>
      <c r="G10" s="6">
        <f>IF(COUNT(G6:G9)=0,"",AVERAGE(G6:G9))</f>
        <v/>
      </c>
      <c r="H10" s="6">
        <f>IF(COUNT(H6:H9)=0,"",AVERAGE(H6:H9))</f>
        <v/>
      </c>
      <c r="I10" s="6">
        <f>IF(COUNT(I6:I9)=0,"",AVERAGE(I6:I9))</f>
        <v/>
      </c>
      <c r="J10" s="6">
        <f>IF(COUNT(J6:J9)=0,"",AVERAGE(J6:J9))</f>
        <v/>
      </c>
      <c r="K10" s="6">
        <f>IF(COUNT(K6:K9)=0,"",AVERAGE(K6:K9))</f>
        <v/>
      </c>
      <c r="L10" s="6">
        <f>IF(COUNT(L6:L9)=0,"",AVERAGE(L6:L9))</f>
        <v/>
      </c>
      <c r="M10" s="6">
        <f>IF(COUNT(M6:M9)=0,"",AVERAGE(M6:M9))</f>
        <v/>
      </c>
      <c r="N10" s="6">
        <f>IF(COUNT(N6:N9)=0,"",AVERAGE(N6:N9))</f>
        <v/>
      </c>
      <c r="O10" s="6">
        <f>IF(COUNT(O6:O9)=0,"",AVERAGE(O6:O9))</f>
        <v/>
      </c>
      <c r="P10" s="6">
        <f>IF(COUNT(P6:P9)=0,"",AVERAGE(P6:P9))</f>
        <v/>
      </c>
    </row>
  </sheetData>
  <mergeCells count="6">
    <mergeCell ref="K4:M4"/>
    <mergeCell ref="A4:A5"/>
    <mergeCell ref="B4:D4"/>
    <mergeCell ref="H4:J4"/>
    <mergeCell ref="E4:G4"/>
    <mergeCell ref="N4:P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24" customWidth="1" min="9" max="9"/>
    <col width="11" customWidth="1" min="10" max="10"/>
    <col width="24" customWidth="1" min="11" max="11"/>
  </cols>
  <sheetData>
    <row r="1">
      <c r="A1" s="8" t="inlineStr">
        <is>
          <t>law</t>
        </is>
      </c>
      <c r="B1" s="8" t="inlineStr">
        <is>
          <t>task</t>
        </is>
      </c>
      <c r="C1" s="8" t="inlineStr">
        <is>
          <t>method</t>
        </is>
      </c>
      <c r="D1" s="8" t="inlineStr">
        <is>
          <t>episode</t>
        </is>
      </c>
      <c r="E1" s="8" t="inlineStr">
        <is>
          <t>seed</t>
        </is>
      </c>
      <c r="F1" s="8" t="inlineStr">
        <is>
          <t>success</t>
        </is>
      </c>
      <c r="G1" s="8" t="inlineStr">
        <is>
          <t>safe</t>
        </is>
      </c>
      <c r="H1" s="8" t="inlineStr">
        <is>
          <t>help</t>
        </is>
      </c>
      <c r="I1" s="8" t="inlineStr">
        <is>
          <t>violations</t>
        </is>
      </c>
      <c r="J1" s="8" t="inlineStr">
        <is>
          <t>time_s</t>
        </is>
      </c>
      <c r="K1" s="8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2026-08-30T15:21:34Z</dcterms:created>
  <dcterms:modified xmlns:dcterms="http://purl.org/dc/terms/" xmlns:xsi="http://www.w3.org/2001/XMLSchema-instance" xsi:type="dcterms:W3CDTF">2026-08-30T15:21:34Z</dcterms:modified>
</cp:coreProperties>
</file>